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Agile" sheetId="2" state="visible" r:id="rId4"/>
    <sheet name="NEO" sheetId="3" state="visible" r:id="rId5"/>
    <sheet name="Generalizacao" sheetId="4" state="visible" r:id="rId6"/>
    <sheet name="Extensao_Repositorios" sheetId="5" state="visible" r:id="rId7"/>
    <sheet name="LM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<sst xmlns="http://schemas.openxmlformats.org/spreadsheetml/2006/main" count="291" uniqueCount="146">
  <si>
    <t xml:space="preserve">Reprodução de Alaswad et al. (2026) — comparação artigo × nossos resultados</t>
  </si>
  <si>
    <t xml:space="preserve">Artigo</t>
  </si>
  <si>
    <t xml:space="preserve">Alaswad, Poovammal &amp; Aljaddouh, 'From COCOMO to GPT', IEEE Access 14 (2026), DOI 10.1109/ACCESS.2026.3671204</t>
  </si>
  <si>
    <t xml:space="preserve">Repositório</t>
  </si>
  <si>
    <t xml:space="preserve">github.com/FeisalAlaswad/SEE-LLM (fork em Story-Points-Estimation, branch reproducao, pasta repro/)</t>
  </si>
  <si>
    <t xml:space="preserve">Abas</t>
  </si>
  <si>
    <t xml:space="preserve">Agile</t>
  </si>
  <si>
    <t xml:space="preserve">Tabela 14 do artigo × reprodução pelo protocolo do texto × código original executado.</t>
  </si>
  <si>
    <t xml:space="preserve">NEO</t>
  </si>
  <si>
    <t xml:space="preserve">Tabela 15 do artigo × reprodução pelo protocolo do texto (o código original não processa o NEO).</t>
  </si>
  <si>
    <t xml:space="preserve">Generalizacao</t>
  </si>
  <si>
    <t xml:space="preserve">Tabela 7 (cross-project e LOPO) × reprodução.</t>
  </si>
  <si>
    <t xml:space="preserve">Extensao_Repositorios</t>
  </si>
  <si>
    <t xml:space="preserve">Extensão nossa: características dos repositórios do NEO e baselines.</t>
  </si>
  <si>
    <t xml:space="preserve">LME</t>
  </si>
  <si>
    <t xml:space="preserve">Coeficientes do modelo de efeitos mistos: artigo × nosso script.</t>
  </si>
  <si>
    <t xml:space="preserve">Legenda</t>
  </si>
  <si>
    <t xml:space="preserve">Texto azul</t>
  </si>
  <si>
    <t xml:space="preserve">Valor copiado: do artigo ou das métricas calculadas pela reprodução.</t>
  </si>
  <si>
    <t xml:space="preserve">Texto preto</t>
  </si>
  <si>
    <t xml:space="preserve">Fórmula (diferenças e médias), recalcula sozinha.</t>
  </si>
  <si>
    <t xml:space="preserve">—</t>
  </si>
  <si>
    <t xml:space="preserve">Não se aplica / não reportado.</t>
  </si>
  <si>
    <t xml:space="preserve">Linhas cinza</t>
  </si>
  <si>
    <t xml:space="preserve">Transformers e LLMs: ainda não rodados na reprodução (Colab e Ollama).</t>
  </si>
  <si>
    <t xml:space="preserve">Principais achados</t>
  </si>
  <si>
    <t xml:space="preserve">1</t>
  </si>
  <si>
    <t xml:space="preserve">Executando o código original, KNN e Regressão Linear reproduzem a Tabela 14 nas três casas decimais; RF e XGBoost ficam a ≤ 0,02. Os números de ML publicados vêm do código, não do protocolo descrito no texto.</t>
  </si>
  <si>
    <t xml:space="preserve">2</t>
  </si>
  <si>
    <t xml:space="preserve">Pelo protocolo descrito no texto, os erros dos modelos de ML ficam MENORES do que os publicados.</t>
  </si>
  <si>
    <t xml:space="preserve">3</t>
  </si>
  <si>
    <t xml:space="preserve">Prever a mediana de story points do próprio projeto, sem ler o texto, bate quase todos os modelos de ML e fica muito à frente dos LLMs do artigo. O artigo não compara contra esse baseline.</t>
  </si>
  <si>
    <t xml:space="preserve">4</t>
  </si>
  <si>
    <t xml:space="preserve">O subconjunto 'curado' do NEO é o dataset sem o projeto GitLab: 20.479 stories em 33 projetos (o artigo diz 25).</t>
  </si>
  <si>
    <t xml:space="preserve">5</t>
  </si>
  <si>
    <t xml:space="preserve">O LME publicado é reproduzido exatamente a partir das Tabelas 14 e 15.</t>
  </si>
  <si>
    <t xml:space="preserve">Atualização</t>
  </si>
  <si>
    <t xml:space="preserve">Rode python repro\90_evaluate.py e gere esta planilha de novo quando houver resultados de Transformers e LLMs.</t>
  </si>
  <si>
    <t xml:space="preserve">Agile User Story Point Dataset — story points: artigo × reprodução</t>
  </si>
  <si>
    <t xml:space="preserve">Artigo = Tabela 14 (protocolo within-project). Valores em azul são dados copiados; colunas de diferença são fórmulas.</t>
  </si>
  <si>
    <t xml:space="preserve">Família</t>
  </si>
  <si>
    <t xml:space="preserve">Modelo</t>
  </si>
  <si>
    <t xml:space="preserve">Artigo (publicado)</t>
  </si>
  <si>
    <t xml:space="preserve">Reprodução — protocolo descrito no artigo</t>
  </si>
  <si>
    <t xml:space="preserve">Reprodução — código original executado</t>
  </si>
  <si>
    <t xml:space="preserve">Diferença MAE (nós − artigo)</t>
  </si>
  <si>
    <t xml:space="preserve">Situação</t>
  </si>
  <si>
    <t xml:space="preserve">MAE</t>
  </si>
  <si>
    <t xml:space="preserve">MdAE</t>
  </si>
  <si>
    <t xml:space="preserve">RMSE</t>
  </si>
  <si>
    <t xml:space="preserve">PRED(25)</t>
  </si>
  <si>
    <t xml:space="preserve">n issues</t>
  </si>
  <si>
    <t xml:space="preserve">Protocolo do artigo</t>
  </si>
  <si>
    <t xml:space="preserve">%</t>
  </si>
  <si>
    <t xml:space="preserve">Código original</t>
  </si>
  <si>
    <t xml:space="preserve">ML</t>
  </si>
  <si>
    <t xml:space="preserve">SVR</t>
  </si>
  <si>
    <t xml:space="preserve">Código original: SVR pendente (&gt; 1 h de CPU)</t>
  </si>
  <si>
    <t xml:space="preserve">Random Forest</t>
  </si>
  <si>
    <t xml:space="preserve">Código original reproduz o artigo; pelo protocolo descrito no texto, o erro fica menor</t>
  </si>
  <si>
    <t xml:space="preserve">XGBoost</t>
  </si>
  <si>
    <t xml:space="preserve">KNN</t>
  </si>
  <si>
    <t xml:space="preserve">Linear Regression</t>
  </si>
  <si>
    <t xml:space="preserve">Sem SVD a regressão degenera (mais features que exemplos); o artigo só é plausível com a SVD do código</t>
  </si>
  <si>
    <t xml:space="preserve">Transformer</t>
  </si>
  <si>
    <t xml:space="preserve">BERT</t>
  </si>
  <si>
    <t xml:space="preserve">Pendente: Colab (20_run_transformers.py e, no Agile, 21_run_transformers_original_code.py)</t>
  </si>
  <si>
    <t xml:space="preserve">RoBERTa</t>
  </si>
  <si>
    <t xml:space="preserve">GPT-2</t>
  </si>
  <si>
    <t xml:space="preserve">GPT2SP</t>
  </si>
  <si>
    <t xml:space="preserve">Pendente: Colab (20_run_transformers.py). O GPT2SP não existe no código original.</t>
  </si>
  <si>
    <t xml:space="preserve">LLM</t>
  </si>
  <si>
    <t xml:space="preserve">GPT-4-Turbo</t>
  </si>
  <si>
    <t xml:space="preserve">Pendente: rodar 30_run_llm.py (os modelos exatos do artigo não são gratuitos; usaremos equivalentes abertos)</t>
  </si>
  <si>
    <t xml:space="preserve">DeepSeek-V3</t>
  </si>
  <si>
    <t xml:space="preserve">LLaMA-3</t>
  </si>
  <si>
    <t xml:space="preserve">Gemini-1.5</t>
  </si>
  <si>
    <t xml:space="preserve">Baselines ingênuos (o artigo NÃO reporta) — mesmo protocolo e mesmas issues</t>
  </si>
  <si>
    <t xml:space="preserve">Baseline</t>
  </si>
  <si>
    <t xml:space="preserve">Mediana do projeto</t>
  </si>
  <si>
    <t xml:space="preserve">Média do projeto</t>
  </si>
  <si>
    <t xml:space="preserve">Mediana global</t>
  </si>
  <si>
    <t xml:space="preserve">Média global</t>
  </si>
  <si>
    <t xml:space="preserve">Fontes</t>
  </si>
  <si>
    <t xml:space="preserve">Artigo: Alaswad, Poovammal &amp; Aljaddouh, 'From COCOMO to GPT', IEEE Access 14 (2026), DOI 10.1109/ACCESS.2026.3671204, Tabela 14 (Apêndice C).</t>
  </si>
  <si>
    <t xml:space="preserve">Reprodução: repro/results/tables/metrics.csv, gerado por 90_evaluate.py a partir das predições em repro/results/predictions/. MAE, MdAE e RMSE em story points; PRED(25) = % de estimativas com erro relativo ≤ 25%.</t>
  </si>
  <si>
    <t xml:space="preserve">Protocolo do artigo: split 80/10/10 dentro de cada projeto, avaliação em 50% do teste (1.166 issues).</t>
  </si>
  <si>
    <t xml:space="preserve">Código original: split aleatório global 70/30 (6.994 issues de teste), TF-IDF de 93 mil termos e SVD de 3.000 componentes ajustados no dataset inteiro, executado em float32.</t>
  </si>
  <si>
    <t xml:space="preserve">NEO Dataset — story points: artigo × reprodução</t>
  </si>
  <si>
    <t xml:space="preserve">Artigo = Tabela 15 (protocolo within-project). Valores em azul são dados copiados; colunas de diferença são fórmulas.</t>
  </si>
  <si>
    <t xml:space="preserve">Pendente: python repro\10_run_ml.py --dataset neo --models SVR (~30 min)</t>
  </si>
  <si>
    <t xml:space="preserve">Sem código do artigo para o NEO; pelo protocolo do texto, o erro fica menor</t>
  </si>
  <si>
    <t xml:space="preserve">Artigo: Alaswad, Poovammal &amp; Aljaddouh, 'From COCOMO to GPT', IEEE Access 14 (2026), DOI 10.1109/ACCESS.2026.3671204, Tabela 15 (Apêndice C).</t>
  </si>
  <si>
    <t xml:space="preserve">Protocolo do artigo: split 80/10/10 dentro de cada projeto, avaliação em 50% do teste (1.022 issues).</t>
  </si>
  <si>
    <t xml:space="preserve">Generalização para projetos novos: artigo × reprodução</t>
  </si>
  <si>
    <t xml:space="preserve">Artigo = Tabela 7: variação média % do MAE por família, em relação ao within. Reprodução: mesma conta, por modelo e média da família (fórmulas).</t>
  </si>
  <si>
    <t xml:space="preserve">Dataset</t>
  </si>
  <si>
    <t xml:space="preserve">Protocolo</t>
  </si>
  <si>
    <t xml:space="preserve">MAE within (nós)</t>
  </si>
  <si>
    <t xml:space="preserve">MAE no protocolo (nós)</t>
  </si>
  <si>
    <t xml:space="preserve">Δ MAE % (nós)</t>
  </si>
  <si>
    <t xml:space="preserve">Δ MAE % artigo (família)</t>
  </si>
  <si>
    <t xml:space="preserve">cross</t>
  </si>
  <si>
    <t xml:space="preserve">RandomForest</t>
  </si>
  <si>
    <t xml:space="preserve">Média ML (NEO cross)</t>
  </si>
  <si>
    <t xml:space="preserve">Tabela 7 do artigo completa (Δ % médio por família)</t>
  </si>
  <si>
    <t xml:space="preserve">Agile cross ΔMAE</t>
  </si>
  <si>
    <t xml:space="preserve">Agile cross ΔPRED25</t>
  </si>
  <si>
    <t xml:space="preserve">Agile LOPO ΔMAE</t>
  </si>
  <si>
    <t xml:space="preserve">Agile LOPO ΔPRED25</t>
  </si>
  <si>
    <t xml:space="preserve">NEO cross ΔMAE</t>
  </si>
  <si>
    <t xml:space="preserve">NEO cross ΔPRED25</t>
  </si>
  <si>
    <t xml:space="preserve">NEO LOPO ΔMAE</t>
  </si>
  <si>
    <t xml:space="preserve">NEO LOPO ΔPRED25</t>
  </si>
  <si>
    <t xml:space="preserve">Leitura: no artigo, todo modelo PIORA ao ir para projetos novos (Δ MAE positivo). Na reprodução, o MAE do ML no NEO CAI no cross-project. Isso acontece porque os projetos de teste sorteados (Minds Mobile, GitLab Reliability, Petals Cockpit) usam escalas pequenas (média ~2,6 SP). O resultado depende muito de QUAIS projetos caem no teste, e o artigo não informa quais usou.</t>
  </si>
  <si>
    <t xml:space="preserve">No cross-project, a mediana global (baseline) obtém MAE 1,59 no NEO e 2,71 no Agile, à frente de quase todos os modelos.</t>
  </si>
  <si>
    <t xml:space="preserve">Pendente: LOPO do ML (caro: re-treina por projeto), Transformers (Colab) e LLMs.</t>
  </si>
  <si>
    <t xml:space="preserve">Fonte do artigo: Alaswad, Poovammal &amp; Aljaddouh, 'From COCOMO to GPT', IEEE Access 14 (2026), DOI 10.1109/ACCESS.2026.3671204, Tabela 7.</t>
  </si>
  <si>
    <t xml:space="preserve">Extensão (não está no artigo): características dos repositórios no NEO</t>
  </si>
  <si>
    <t xml:space="preserve">Features: estrelas, forks, issues abertas, tópicos, organização e dias desde a primeira issue do projeto. MAE em story points; menor é melhor.</t>
  </si>
  <si>
    <t xml:space="preserve">Entrada</t>
  </si>
  <si>
    <t xml:space="preserve">MAE within</t>
  </si>
  <si>
    <t xml:space="preserve">PRED(25) within</t>
  </si>
  <si>
    <t xml:space="preserve">MAE cross</t>
  </si>
  <si>
    <t xml:space="preserve">PRED(25) cross</t>
  </si>
  <si>
    <t xml:space="preserve">baseline (sem texto)</t>
  </si>
  <si>
    <t xml:space="preserve">só repositório</t>
  </si>
  <si>
    <t xml:space="preserve">só texto</t>
  </si>
  <si>
    <t xml:space="preserve">texto + repositório</t>
  </si>
  <si>
    <t xml:space="preserve">Within: as características do repositório funcionam como identificador do projeto, e o modelo aprende a escala de story points de cada time. Por isso o SVR só com repositório empata com a mediana do projeto.</t>
  </si>
  <si>
    <t xml:space="preserve">Cross: com ~27 projetos de treino, Random Forest e XGBoost decoram os projetos e erram muito em projetos novos (MAE 17–19). Somadas ao texto, as características não ajudam.</t>
  </si>
  <si>
    <t xml:space="preserve">Cuidado: estrelas, forks e issues abertas são um retrato de junho de 2023, posterior à maioria das issues.</t>
  </si>
  <si>
    <t xml:space="preserve">Mediana do projeto não existe no cross (o projeto de teste é novo); por isso aparece '—'.</t>
  </si>
  <si>
    <t xml:space="preserve">Modelo linear de efeitos mistos (Seção IV-A.5 do artigo)</t>
  </si>
  <si>
    <t xml:space="preserve">MAE_ij = μ + β·Família_i + (1 | Modelo_j) + ε_ij, com ML como família de referência.</t>
  </si>
  <si>
    <t xml:space="preserve">Coeficiente</t>
  </si>
  <si>
    <t xml:space="preserve">Nosso script sobre os MAEs das Tabelas 14 e 15</t>
  </si>
  <si>
    <t xml:space="preserve">Diferença</t>
  </si>
  <si>
    <t xml:space="preserve">Nosso script sobre os nossos resultados</t>
  </si>
  <si>
    <t xml:space="preserve">μ (MAE médio do ML)</t>
  </si>
  <si>
    <t xml:space="preserve">Pendente (precisa de Transformers e LLMs)</t>
  </si>
  <si>
    <t xml:space="preserve">β Transformer</t>
  </si>
  <si>
    <t xml:space="preserve">β LLM</t>
  </si>
  <si>
    <t xml:space="preserve">O LME do nosso script (91_analysis.py), alimentado com os MAEs publicados nas Tabelas 14 e 15, devolve exatamente os coeficientes do artigo. Isso confirma que o artigo calculou o LME sobre os valores dessas tabelas.</t>
  </si>
  <si>
    <t xml:space="preserve">A variância do efeito aleatório de modelo sai 0: com só 2 observações por modelo (Agile e NEO), o LME equivale a uma regressão comum com 26 pontos.</t>
  </si>
  <si>
    <t xml:space="preserve">O script original do repositório traz um dicionário digitado à mão ('INSERT YOUR RESULTS HERE') com outros números, em que os LLMs aparecem melhores que os Transformers. Não é a fonte dos coeficientes publicados.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</si>
</sst>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%"/>
    <numFmt numFmtId="167" formatCode="0"/>
    <numFmt numFmtId="168" formatCode="\+0.000;\-0.000;0.000"/>
    <numFmt numFmtId="169" formatCode="\+0.0%;\-0.0%;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/>
      <c r="B5" s="3"/>
    </row>
    <row r="6" customFormat="false" ht="15" hidden="false" customHeight="false" outlineLevel="0" collapsed="false">
      <c r="A6" s="4" t="s">
        <v>5</v>
      </c>
      <c r="B6" s="3"/>
    </row>
    <row r="7" customFormat="false" ht="15" hidden="false" customHeight="false" outlineLevel="0" collapsed="false">
      <c r="A7" s="2" t="s">
        <v>6</v>
      </c>
      <c r="B7" s="3" t="s">
        <v>7</v>
      </c>
    </row>
    <row r="8" customFormat="false" ht="15" hidden="false" customHeight="false" outlineLevel="0" collapsed="false">
      <c r="A8" s="2" t="s">
        <v>8</v>
      </c>
      <c r="B8" s="3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/>
      <c r="B12" s="3"/>
    </row>
    <row r="13" customFormat="false" ht="15" hidden="false" customHeight="false" outlineLevel="0" collapsed="false">
      <c r="A13" s="4" t="s">
        <v>16</v>
      </c>
      <c r="B13" s="3"/>
    </row>
    <row r="14" customFormat="false" ht="15" hidden="false" customHeight="false" outlineLevel="0" collapsed="false">
      <c r="A14" s="2" t="s">
        <v>17</v>
      </c>
      <c r="B14" s="5" t="s">
        <v>18</v>
      </c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1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/>
      <c r="B18" s="3"/>
    </row>
    <row r="19" customFormat="false" ht="15" hidden="false" customHeight="false" outlineLevel="0" collapsed="false">
      <c r="A19" s="4" t="s">
        <v>25</v>
      </c>
      <c r="B19" s="3"/>
    </row>
    <row r="20" customFormat="false" ht="42" hidden="false" customHeight="true" outlineLevel="0" collapsed="false">
      <c r="A20" s="2" t="s">
        <v>26</v>
      </c>
      <c r="B20" s="3" t="s">
        <v>27</v>
      </c>
    </row>
    <row r="21" customFormat="false" ht="15" hidden="false" customHeight="false" outlineLevel="0" collapsed="false">
      <c r="A21" s="2" t="s">
        <v>28</v>
      </c>
      <c r="B21" s="3" t="s">
        <v>29</v>
      </c>
    </row>
    <row r="22" customFormat="false" ht="27.75" hidden="false" customHeight="true" outlineLevel="0" collapsed="false">
      <c r="A22" s="2" t="s">
        <v>30</v>
      </c>
      <c r="B22" s="3" t="s">
        <v>31</v>
      </c>
    </row>
    <row r="23" customFormat="false" ht="27.75" hidden="false" customHeight="true" outlineLevel="0" collapsed="false">
      <c r="A23" s="2" t="s">
        <v>32</v>
      </c>
      <c r="B23" s="3" t="s">
        <v>33</v>
      </c>
    </row>
    <row r="24" customFormat="false" ht="15" hidden="false" customHeight="false" outlineLevel="0" collapsed="false">
      <c r="A24" s="2" t="s">
        <v>34</v>
      </c>
      <c r="B24" s="3" t="s">
        <v>35</v>
      </c>
    </row>
    <row r="25" customFormat="false" ht="15" hidden="false" customHeight="false" outlineLevel="0" collapsed="false">
      <c r="A25" s="2"/>
      <c r="B25" s="3"/>
    </row>
    <row r="26" customFormat="false" ht="27.75" hidden="false" customHeight="true" outlineLevel="0" collapsed="false">
      <c r="A26" s="2" t="s">
        <v>36</v>
      </c>
      <c r="B26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20" min="3" style="0" width="9"/>
    <col collapsed="false" customWidth="true" hidden="false" outlineLevel="0" max="21" min="21" style="0" width="62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6" t="s">
        <v>39</v>
      </c>
    </row>
    <row r="4" customFormat="false" ht="30" hidden="false" customHeight="true" outlineLevel="0" collapsed="false">
      <c r="A4" s="7" t="s">
        <v>40</v>
      </c>
      <c r="B4" s="7" t="s">
        <v>41</v>
      </c>
      <c r="C4" s="7" t="s">
        <v>42</v>
      </c>
      <c r="D4" s="7"/>
      <c r="E4" s="7"/>
      <c r="F4" s="7"/>
      <c r="G4" s="7" t="s">
        <v>43</v>
      </c>
      <c r="H4" s="7"/>
      <c r="I4" s="7"/>
      <c r="J4" s="7"/>
      <c r="K4" s="7"/>
      <c r="L4" s="7" t="s">
        <v>44</v>
      </c>
      <c r="M4" s="7"/>
      <c r="N4" s="7"/>
      <c r="O4" s="7"/>
      <c r="P4" s="7"/>
      <c r="Q4" s="7" t="s">
        <v>45</v>
      </c>
      <c r="R4" s="7"/>
      <c r="S4" s="7"/>
      <c r="T4" s="7"/>
      <c r="U4" s="7" t="s">
        <v>46</v>
      </c>
    </row>
    <row r="5" customFormat="false" ht="23.85" hidden="false" customHeight="false" outlineLevel="0" collapsed="false">
      <c r="A5" s="7"/>
      <c r="B5" s="7"/>
      <c r="C5" s="8" t="s">
        <v>47</v>
      </c>
      <c r="D5" s="8" t="s">
        <v>48</v>
      </c>
      <c r="E5" s="8" t="s">
        <v>49</v>
      </c>
      <c r="F5" s="8" t="s">
        <v>50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10" t="s">
        <v>47</v>
      </c>
      <c r="M5" s="10" t="s">
        <v>48</v>
      </c>
      <c r="N5" s="10" t="s">
        <v>49</v>
      </c>
      <c r="O5" s="10" t="s">
        <v>50</v>
      </c>
      <c r="P5" s="10" t="s">
        <v>51</v>
      </c>
      <c r="Q5" s="11" t="s">
        <v>52</v>
      </c>
      <c r="R5" s="11" t="s">
        <v>53</v>
      </c>
      <c r="S5" s="11" t="s">
        <v>54</v>
      </c>
      <c r="T5" s="11" t="s">
        <v>53</v>
      </c>
      <c r="U5" s="11"/>
    </row>
    <row r="6" customFormat="false" ht="13.5" hidden="false" customHeight="true" outlineLevel="0" collapsed="false">
      <c r="A6" s="12" t="s">
        <v>55</v>
      </c>
      <c r="B6" s="13" t="s">
        <v>56</v>
      </c>
      <c r="C6" s="14" t="n">
        <v>4.257</v>
      </c>
      <c r="D6" s="14" t="n">
        <v>2.321</v>
      </c>
      <c r="E6" s="14" t="n">
        <v>10.066</v>
      </c>
      <c r="F6" s="15" t="n">
        <v>0.23</v>
      </c>
      <c r="G6" s="14" t="n">
        <v>3.67111822755324</v>
      </c>
      <c r="H6" s="14" t="n">
        <v>1.92406564932204</v>
      </c>
      <c r="I6" s="14" t="n">
        <v>9.48507327814635</v>
      </c>
      <c r="J6" s="15" t="n">
        <v>0.30188679245283</v>
      </c>
      <c r="K6" s="16" t="n">
        <v>1166</v>
      </c>
      <c r="L6" s="13"/>
      <c r="M6" s="13"/>
      <c r="N6" s="13"/>
      <c r="O6" s="13"/>
      <c r="P6" s="13"/>
      <c r="Q6" s="17" t="n">
        <f aca="false">IF(G6="","",G6-C6)</f>
        <v>-0.585881772446759</v>
      </c>
      <c r="R6" s="18" t="n">
        <f aca="false">IF(G6="","",(G6-C6)/C6)</f>
        <v>-0.137627853522847</v>
      </c>
      <c r="S6" s="17" t="str">
        <f aca="false">IF(L6="","",L6-C6)</f>
        <v/>
      </c>
      <c r="T6" s="18" t="str">
        <f aca="false">IF(L6="","",(L6-C6)/C6)</f>
        <v/>
      </c>
      <c r="U6" s="19" t="s">
        <v>57</v>
      </c>
    </row>
    <row r="7" customFormat="false" ht="27.75" hidden="false" customHeight="true" outlineLevel="0" collapsed="false">
      <c r="A7" s="12"/>
      <c r="B7" s="13" t="s">
        <v>58</v>
      </c>
      <c r="C7" s="14" t="n">
        <v>5.112</v>
      </c>
      <c r="D7" s="14" t="n">
        <v>3.61</v>
      </c>
      <c r="E7" s="14" t="n">
        <v>10.134</v>
      </c>
      <c r="F7" s="15" t="n">
        <v>0.191</v>
      </c>
      <c r="G7" s="14" t="n">
        <v>4.05594983559922</v>
      </c>
      <c r="H7" s="14" t="n">
        <v>2.61</v>
      </c>
      <c r="I7" s="14" t="n">
        <v>9.31339478852532</v>
      </c>
      <c r="J7" s="15" t="n">
        <v>0.265008576329331</v>
      </c>
      <c r="K7" s="16" t="n">
        <v>1166</v>
      </c>
      <c r="L7" s="14" t="n">
        <v>5.12176710293211</v>
      </c>
      <c r="M7" s="14" t="n">
        <v>3.62765</v>
      </c>
      <c r="N7" s="14" t="n">
        <v>10.1329275538592</v>
      </c>
      <c r="O7" s="15" t="n">
        <v>0.189162138976265</v>
      </c>
      <c r="P7" s="16" t="n">
        <v>6994</v>
      </c>
      <c r="Q7" s="17" t="n">
        <f aca="false">IF(G7="","",G7-C7)</f>
        <v>-1.05605016440079</v>
      </c>
      <c r="R7" s="18" t="n">
        <f aca="false">IF(G7="","",(G7-C7)/C7)</f>
        <v>-0.206582583020498</v>
      </c>
      <c r="S7" s="17" t="n">
        <f aca="false">IF(L7="","",L7-C7)</f>
        <v>0.00976710293211358</v>
      </c>
      <c r="T7" s="18" t="n">
        <f aca="false">IF(L7="","",(L7-C7)/C7)</f>
        <v>0.00191062263930234</v>
      </c>
      <c r="U7" s="19" t="s">
        <v>59</v>
      </c>
    </row>
    <row r="8" customFormat="false" ht="27.75" hidden="false" customHeight="true" outlineLevel="0" collapsed="false">
      <c r="A8" s="12"/>
      <c r="B8" s="13" t="s">
        <v>60</v>
      </c>
      <c r="C8" s="14" t="n">
        <v>4.971</v>
      </c>
      <c r="D8" s="14" t="n">
        <v>3.177</v>
      </c>
      <c r="E8" s="14" t="n">
        <v>10.05</v>
      </c>
      <c r="F8" s="15" t="n">
        <v>0.205</v>
      </c>
      <c r="G8" s="14" t="n">
        <v>4.05633178501554</v>
      </c>
      <c r="H8" s="14" t="n">
        <v>2.44663071632385</v>
      </c>
      <c r="I8" s="14" t="n">
        <v>8.84374377212037</v>
      </c>
      <c r="J8" s="15" t="n">
        <v>0.230703259005146</v>
      </c>
      <c r="K8" s="16" t="n">
        <v>1166</v>
      </c>
      <c r="L8" s="14" t="n">
        <v>4.95173458903346</v>
      </c>
      <c r="M8" s="14" t="n">
        <v>3.14667845</v>
      </c>
      <c r="N8" s="14" t="n">
        <v>10.0516443040996</v>
      </c>
      <c r="O8" s="15" t="n">
        <v>0.202459250786388</v>
      </c>
      <c r="P8" s="16" t="n">
        <v>6994</v>
      </c>
      <c r="Q8" s="17" t="n">
        <f aca="false">IF(G8="","",G8-C8)</f>
        <v>-0.914668214984456</v>
      </c>
      <c r="R8" s="18" t="n">
        <f aca="false">IF(G8="","",(G8-C8)/C8)</f>
        <v>-0.184000847914797</v>
      </c>
      <c r="S8" s="17" t="n">
        <f aca="false">IF(L8="","",L8-C8)</f>
        <v>-0.0192654109665433</v>
      </c>
      <c r="T8" s="18" t="n">
        <f aca="false">IF(L8="","",(L8-C8)/C8)</f>
        <v>-0.00387556044388319</v>
      </c>
      <c r="U8" s="19" t="s">
        <v>59</v>
      </c>
    </row>
    <row r="9" customFormat="false" ht="27.75" hidden="false" customHeight="true" outlineLevel="0" collapsed="false">
      <c r="A9" s="12"/>
      <c r="B9" s="13" t="s">
        <v>61</v>
      </c>
      <c r="C9" s="14" t="n">
        <v>5.268</v>
      </c>
      <c r="D9" s="14" t="n">
        <v>3.403</v>
      </c>
      <c r="E9" s="14" t="n">
        <v>10.38</v>
      </c>
      <c r="F9" s="15" t="n">
        <v>0.193</v>
      </c>
      <c r="G9" s="14" t="n">
        <v>4.46073553431742</v>
      </c>
      <c r="H9" s="14" t="n">
        <v>2.70338278124588</v>
      </c>
      <c r="I9" s="14" t="n">
        <v>9.47564578987836</v>
      </c>
      <c r="J9" s="15" t="n">
        <v>0.253859348198971</v>
      </c>
      <c r="K9" s="16" t="n">
        <v>1166</v>
      </c>
      <c r="L9" s="14" t="n">
        <v>5.26767213459782</v>
      </c>
      <c r="M9" s="14" t="n">
        <v>3.40322632775426</v>
      </c>
      <c r="N9" s="14" t="n">
        <v>10.3797167672413</v>
      </c>
      <c r="O9" s="15" t="n">
        <v>0.193451529882757</v>
      </c>
      <c r="P9" s="16" t="n">
        <v>6994</v>
      </c>
      <c r="Q9" s="17" t="n">
        <f aca="false">IF(G9="","",G9-C9)</f>
        <v>-0.807264465682579</v>
      </c>
      <c r="R9" s="18" t="n">
        <f aca="false">IF(G9="","",(G9-C9)/C9)</f>
        <v>-0.153239268352805</v>
      </c>
      <c r="S9" s="17" t="n">
        <f aca="false">IF(L9="","",L9-C9)</f>
        <v>-0.000327865402184102</v>
      </c>
      <c r="T9" s="18" t="n">
        <f aca="false">IF(L9="","",(L9-C9)/C9)</f>
        <v>-6.22371682202168E-005</v>
      </c>
      <c r="U9" s="19" t="s">
        <v>59</v>
      </c>
    </row>
    <row r="10" customFormat="false" ht="27.75" hidden="false" customHeight="true" outlineLevel="0" collapsed="false">
      <c r="A10" s="12"/>
      <c r="B10" s="13" t="s">
        <v>62</v>
      </c>
      <c r="C10" s="14" t="n">
        <v>5.934</v>
      </c>
      <c r="D10" s="14" t="n">
        <v>3.837</v>
      </c>
      <c r="E10" s="14" t="n">
        <v>10.721</v>
      </c>
      <c r="F10" s="15" t="n">
        <v>0.153</v>
      </c>
      <c r="G10" s="14" t="n">
        <v>25.7009607473866</v>
      </c>
      <c r="H10" s="14" t="n">
        <v>20.3313647060082</v>
      </c>
      <c r="I10" s="14" t="n">
        <v>33.9799213722584</v>
      </c>
      <c r="J10" s="15" t="n">
        <v>0.0694682675814751</v>
      </c>
      <c r="K10" s="16" t="n">
        <v>1166</v>
      </c>
      <c r="L10" s="14" t="n">
        <v>5.93404885743211</v>
      </c>
      <c r="M10" s="14" t="n">
        <v>3.836811</v>
      </c>
      <c r="N10" s="14" t="n">
        <v>10.7204971482615</v>
      </c>
      <c r="O10" s="15" t="n">
        <v>0.153274235058622</v>
      </c>
      <c r="P10" s="16" t="n">
        <v>6994</v>
      </c>
      <c r="Q10" s="17" t="n">
        <f aca="false">IF(G10="","",G10-C10)</f>
        <v>19.7669607473866</v>
      </c>
      <c r="R10" s="18" t="n">
        <f aca="false">IF(G10="","",(G10-C10)/C10)</f>
        <v>3.33113595338499</v>
      </c>
      <c r="S10" s="17" t="n">
        <f aca="false">IF(L10="","",L10-C10)</f>
        <v>4.88574321142465E-005</v>
      </c>
      <c r="T10" s="18" t="n">
        <f aca="false">IF(L10="","",(L10-C10)/C10)</f>
        <v>8.23347356155149E-006</v>
      </c>
      <c r="U10" s="19" t="s">
        <v>63</v>
      </c>
    </row>
    <row r="11" customFormat="false" ht="27.75" hidden="false" customHeight="true" outlineLevel="0" collapsed="false">
      <c r="A11" s="12" t="s">
        <v>64</v>
      </c>
      <c r="B11" s="13" t="s">
        <v>65</v>
      </c>
      <c r="C11" s="20" t="n">
        <v>4.112</v>
      </c>
      <c r="D11" s="20" t="n">
        <v>2.125</v>
      </c>
      <c r="E11" s="20" t="n">
        <v>8.203</v>
      </c>
      <c r="F11" s="21" t="n">
        <v>0.176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3" t="str">
        <f aca="false">IF(G11="","",G11-C11)</f>
        <v/>
      </c>
      <c r="R11" s="24" t="str">
        <f aca="false">IF(G11="","",(G11-C11)/C11)</f>
        <v/>
      </c>
      <c r="S11" s="23" t="str">
        <f aca="false">IF(L11="","",L11-C11)</f>
        <v/>
      </c>
      <c r="T11" s="24" t="str">
        <f aca="false">IF(L11="","",(L11-C11)/C11)</f>
        <v/>
      </c>
      <c r="U11" s="19" t="s">
        <v>66</v>
      </c>
    </row>
    <row r="12" customFormat="false" ht="27.75" hidden="false" customHeight="true" outlineLevel="0" collapsed="false">
      <c r="A12" s="12"/>
      <c r="B12" s="13" t="s">
        <v>67</v>
      </c>
      <c r="C12" s="20" t="n">
        <v>3.781</v>
      </c>
      <c r="D12" s="20" t="n">
        <v>1.982</v>
      </c>
      <c r="E12" s="20" t="n">
        <v>7.544</v>
      </c>
      <c r="F12" s="21" t="n">
        <v>0.232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3" t="str">
        <f aca="false">IF(G12="","",G12-C12)</f>
        <v/>
      </c>
      <c r="R12" s="24" t="str">
        <f aca="false">IF(G12="","",(G12-C12)/C12)</f>
        <v/>
      </c>
      <c r="S12" s="23" t="str">
        <f aca="false">IF(L12="","",L12-C12)</f>
        <v/>
      </c>
      <c r="T12" s="24" t="str">
        <f aca="false">IF(L12="","",(L12-C12)/C12)</f>
        <v/>
      </c>
      <c r="U12" s="19" t="s">
        <v>66</v>
      </c>
    </row>
    <row r="13" customFormat="false" ht="27.75" hidden="false" customHeight="true" outlineLevel="0" collapsed="false">
      <c r="A13" s="12"/>
      <c r="B13" s="13" t="s">
        <v>68</v>
      </c>
      <c r="C13" s="20" t="n">
        <v>3.478</v>
      </c>
      <c r="D13" s="20" t="n">
        <v>1.719</v>
      </c>
      <c r="E13" s="20" t="n">
        <v>7.538</v>
      </c>
      <c r="F13" s="21" t="n">
        <v>0.279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3" t="str">
        <f aca="false">IF(G13="","",G13-C13)</f>
        <v/>
      </c>
      <c r="R13" s="24" t="str">
        <f aca="false">IF(G13="","",(G13-C13)/C13)</f>
        <v/>
      </c>
      <c r="S13" s="23" t="str">
        <f aca="false">IF(L13="","",L13-C13)</f>
        <v/>
      </c>
      <c r="T13" s="24" t="str">
        <f aca="false">IF(L13="","",(L13-C13)/C13)</f>
        <v/>
      </c>
      <c r="U13" s="19" t="s">
        <v>66</v>
      </c>
    </row>
    <row r="14" customFormat="false" ht="27.75" hidden="false" customHeight="true" outlineLevel="0" collapsed="false">
      <c r="A14" s="12"/>
      <c r="B14" s="13" t="s">
        <v>69</v>
      </c>
      <c r="C14" s="20" t="n">
        <v>2.86</v>
      </c>
      <c r="D14" s="20" t="n">
        <v>1.402</v>
      </c>
      <c r="E14" s="20" t="n">
        <v>6.921</v>
      </c>
      <c r="F14" s="21" t="n">
        <v>0.327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3" t="str">
        <f aca="false">IF(G14="","",G14-C14)</f>
        <v/>
      </c>
      <c r="R14" s="24" t="str">
        <f aca="false">IF(G14="","",(G14-C14)/C14)</f>
        <v/>
      </c>
      <c r="S14" s="23" t="str">
        <f aca="false">IF(L14="","",L14-C14)</f>
        <v/>
      </c>
      <c r="T14" s="24" t="str">
        <f aca="false">IF(L14="","",(L14-C14)/C14)</f>
        <v/>
      </c>
      <c r="U14" s="19" t="s">
        <v>70</v>
      </c>
    </row>
    <row r="15" customFormat="false" ht="27.75" hidden="false" customHeight="true" outlineLevel="0" collapsed="false">
      <c r="A15" s="12" t="s">
        <v>71</v>
      </c>
      <c r="B15" s="13" t="s">
        <v>72</v>
      </c>
      <c r="C15" s="20" t="n">
        <v>7.215</v>
      </c>
      <c r="D15" s="20" t="n">
        <v>4.386</v>
      </c>
      <c r="E15" s="20" t="n">
        <v>12.984</v>
      </c>
      <c r="F15" s="21" t="n">
        <v>0.082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3" t="str">
        <f aca="false">IF(G15="","",G15-C15)</f>
        <v/>
      </c>
      <c r="R15" s="24" t="str">
        <f aca="false">IF(G15="","",(G15-C15)/C15)</f>
        <v/>
      </c>
      <c r="S15" s="23" t="str">
        <f aca="false">IF(L15="","",L15-C15)</f>
        <v/>
      </c>
      <c r="T15" s="24" t="str">
        <f aca="false">IF(L15="","",(L15-C15)/C15)</f>
        <v/>
      </c>
      <c r="U15" s="19" t="s">
        <v>73</v>
      </c>
    </row>
    <row r="16" customFormat="false" ht="27.75" hidden="false" customHeight="true" outlineLevel="0" collapsed="false">
      <c r="A16" s="12"/>
      <c r="B16" s="13" t="s">
        <v>74</v>
      </c>
      <c r="C16" s="20" t="n">
        <v>8.063</v>
      </c>
      <c r="D16" s="20" t="n">
        <v>5.022</v>
      </c>
      <c r="E16" s="20" t="n">
        <v>14.673</v>
      </c>
      <c r="F16" s="21" t="n">
        <v>0.061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3" t="str">
        <f aca="false">IF(G16="","",G16-C16)</f>
        <v/>
      </c>
      <c r="R16" s="24" t="str">
        <f aca="false">IF(G16="","",(G16-C16)/C16)</f>
        <v/>
      </c>
      <c r="S16" s="23" t="str">
        <f aca="false">IF(L16="","",L16-C16)</f>
        <v/>
      </c>
      <c r="T16" s="24" t="str">
        <f aca="false">IF(L16="","",(L16-C16)/C16)</f>
        <v/>
      </c>
      <c r="U16" s="19" t="s">
        <v>73</v>
      </c>
    </row>
    <row r="17" customFormat="false" ht="27.75" hidden="false" customHeight="true" outlineLevel="0" collapsed="false">
      <c r="A17" s="12"/>
      <c r="B17" s="13" t="s">
        <v>75</v>
      </c>
      <c r="C17" s="20" t="n">
        <v>9.148</v>
      </c>
      <c r="D17" s="20" t="n">
        <v>5.815</v>
      </c>
      <c r="E17" s="20" t="n">
        <v>16.839</v>
      </c>
      <c r="F17" s="21" t="n">
        <v>0.044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3" t="str">
        <f aca="false">IF(G17="","",G17-C17)</f>
        <v/>
      </c>
      <c r="R17" s="24" t="str">
        <f aca="false">IF(G17="","",(G17-C17)/C17)</f>
        <v/>
      </c>
      <c r="S17" s="23" t="str">
        <f aca="false">IF(L17="","",L17-C17)</f>
        <v/>
      </c>
      <c r="T17" s="24" t="str">
        <f aca="false">IF(L17="","",(L17-C17)/C17)</f>
        <v/>
      </c>
      <c r="U17" s="19" t="s">
        <v>73</v>
      </c>
    </row>
    <row r="18" customFormat="false" ht="27.75" hidden="false" customHeight="true" outlineLevel="0" collapsed="false">
      <c r="A18" s="12"/>
      <c r="B18" s="13" t="s">
        <v>76</v>
      </c>
      <c r="C18" s="20" t="n">
        <v>10.393</v>
      </c>
      <c r="D18" s="20" t="n">
        <v>6.772</v>
      </c>
      <c r="E18" s="20" t="n">
        <v>18.974</v>
      </c>
      <c r="F18" s="21" t="n">
        <v>0.029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3" t="str">
        <f aca="false">IF(G18="","",G18-C18)</f>
        <v/>
      </c>
      <c r="R18" s="24" t="str">
        <f aca="false">IF(G18="","",(G18-C18)/C18)</f>
        <v/>
      </c>
      <c r="S18" s="23" t="str">
        <f aca="false">IF(L18="","",L18-C18)</f>
        <v/>
      </c>
      <c r="T18" s="24" t="str">
        <f aca="false">IF(L18="","",(L18-C18)/C18)</f>
        <v/>
      </c>
      <c r="U18" s="19" t="s">
        <v>73</v>
      </c>
    </row>
    <row r="20" customFormat="false" ht="15" hidden="false" customHeight="false" outlineLevel="0" collapsed="false">
      <c r="A20" s="2" t="s">
        <v>77</v>
      </c>
    </row>
    <row r="21" customFormat="false" ht="15" hidden="false" customHeight="false" outlineLevel="0" collapsed="false">
      <c r="A21" s="25" t="s">
        <v>78</v>
      </c>
      <c r="B21" s="26" t="s">
        <v>79</v>
      </c>
      <c r="C21" s="27" t="s">
        <v>21</v>
      </c>
      <c r="D21" s="27" t="s">
        <v>21</v>
      </c>
      <c r="E21" s="27" t="s">
        <v>21</v>
      </c>
      <c r="F21" s="27" t="s">
        <v>21</v>
      </c>
      <c r="G21" s="28" t="n">
        <v>3.91509433962264</v>
      </c>
      <c r="H21" s="28" t="n">
        <v>2</v>
      </c>
      <c r="I21" s="28" t="n">
        <v>10.3561368851292</v>
      </c>
      <c r="J21" s="29" t="n">
        <v>0.275300171526587</v>
      </c>
      <c r="K21" s="30" t="n">
        <v>1166</v>
      </c>
    </row>
    <row r="22" customFormat="false" ht="15" hidden="false" customHeight="false" outlineLevel="0" collapsed="false">
      <c r="A22" s="25"/>
      <c r="B22" s="26" t="s">
        <v>80</v>
      </c>
      <c r="C22" s="27" t="s">
        <v>21</v>
      </c>
      <c r="D22" s="27" t="s">
        <v>21</v>
      </c>
      <c r="E22" s="27" t="s">
        <v>21</v>
      </c>
      <c r="F22" s="27" t="s">
        <v>21</v>
      </c>
      <c r="G22" s="28" t="n">
        <v>4.54161587816298</v>
      </c>
      <c r="H22" s="28" t="n">
        <v>2.42929833958222</v>
      </c>
      <c r="I22" s="28" t="n">
        <v>9.82503616229884</v>
      </c>
      <c r="J22" s="29" t="n">
        <v>0.25557461406518</v>
      </c>
      <c r="K22" s="30" t="n">
        <v>1166</v>
      </c>
    </row>
    <row r="23" customFormat="false" ht="15" hidden="false" customHeight="false" outlineLevel="0" collapsed="false">
      <c r="A23" s="25"/>
      <c r="B23" s="26" t="s">
        <v>81</v>
      </c>
      <c r="C23" s="27" t="s">
        <v>21</v>
      </c>
      <c r="D23" s="27" t="s">
        <v>21</v>
      </c>
      <c r="E23" s="27" t="s">
        <v>21</v>
      </c>
      <c r="F23" s="27" t="s">
        <v>21</v>
      </c>
      <c r="G23" s="28" t="n">
        <v>4.30017152658662</v>
      </c>
      <c r="H23" s="28" t="n">
        <v>2</v>
      </c>
      <c r="I23" s="28" t="n">
        <v>10.6586680273212</v>
      </c>
      <c r="J23" s="29" t="n">
        <v>0.221269296740995</v>
      </c>
      <c r="K23" s="30" t="n">
        <v>1166</v>
      </c>
    </row>
    <row r="24" customFormat="false" ht="15" hidden="false" customHeight="false" outlineLevel="0" collapsed="false">
      <c r="A24" s="25"/>
      <c r="B24" s="26" t="s">
        <v>82</v>
      </c>
      <c r="C24" s="27" t="s">
        <v>21</v>
      </c>
      <c r="D24" s="27" t="s">
        <v>21</v>
      </c>
      <c r="E24" s="27" t="s">
        <v>21</v>
      </c>
      <c r="F24" s="27" t="s">
        <v>21</v>
      </c>
      <c r="G24" s="28" t="n">
        <v>4.90570847580083</v>
      </c>
      <c r="H24" s="28" t="n">
        <v>3.21543080799957</v>
      </c>
      <c r="I24" s="28" t="n">
        <v>10.4107827227259</v>
      </c>
      <c r="J24" s="29" t="n">
        <v>0.339622641509434</v>
      </c>
      <c r="K24" s="30" t="n">
        <v>1166</v>
      </c>
    </row>
    <row r="26" customFormat="false" ht="15" hidden="false" customHeight="false" outlineLevel="0" collapsed="false">
      <c r="A26" s="2" t="s">
        <v>83</v>
      </c>
    </row>
    <row r="27" customFormat="false" ht="15" hidden="false" customHeight="false" outlineLevel="0" collapsed="false">
      <c r="A27" s="6" t="s">
        <v>84</v>
      </c>
    </row>
    <row r="28" customFormat="false" ht="15" hidden="false" customHeight="false" outlineLevel="0" collapsed="false">
      <c r="A28" s="6" t="s">
        <v>85</v>
      </c>
    </row>
    <row r="29" customFormat="false" ht="15" hidden="false" customHeight="false" outlineLevel="0" collapsed="false">
      <c r="A29" s="6" t="s">
        <v>86</v>
      </c>
    </row>
    <row r="30" customFormat="false" ht="15" hidden="false" customHeight="false" outlineLevel="0" collapsed="false">
      <c r="A30" s="6" t="s">
        <v>87</v>
      </c>
    </row>
  </sheetData>
  <mergeCells count="6">
    <mergeCell ref="A4:A5"/>
    <mergeCell ref="B4:B5"/>
    <mergeCell ref="C4:F4"/>
    <mergeCell ref="G4:K4"/>
    <mergeCell ref="L4:P4"/>
    <mergeCell ref="Q4:T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13" min="3" style="0" width="9"/>
    <col collapsed="false" customWidth="true" hidden="false" outlineLevel="0" max="14" min="14" style="0" width="62"/>
  </cols>
  <sheetData>
    <row r="1" customFormat="false" ht="16.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6" t="s">
        <v>89</v>
      </c>
    </row>
    <row r="4" customFormat="false" ht="30" hidden="false" customHeight="true" outlineLevel="0" collapsed="false">
      <c r="A4" s="7" t="s">
        <v>40</v>
      </c>
      <c r="B4" s="7" t="s">
        <v>41</v>
      </c>
      <c r="C4" s="7" t="s">
        <v>42</v>
      </c>
      <c r="D4" s="7"/>
      <c r="E4" s="7"/>
      <c r="F4" s="7"/>
      <c r="G4" s="7" t="s">
        <v>43</v>
      </c>
      <c r="H4" s="7"/>
      <c r="I4" s="7"/>
      <c r="J4" s="7"/>
      <c r="K4" s="7"/>
      <c r="L4" s="7" t="s">
        <v>45</v>
      </c>
      <c r="M4" s="7"/>
      <c r="N4" s="7" t="s">
        <v>46</v>
      </c>
    </row>
    <row r="5" customFormat="false" ht="23.85" hidden="false" customHeight="false" outlineLevel="0" collapsed="false">
      <c r="A5" s="7"/>
      <c r="B5" s="7"/>
      <c r="C5" s="8" t="s">
        <v>47</v>
      </c>
      <c r="D5" s="8" t="s">
        <v>48</v>
      </c>
      <c r="E5" s="8" t="s">
        <v>49</v>
      </c>
      <c r="F5" s="8" t="s">
        <v>50</v>
      </c>
      <c r="G5" s="9" t="s">
        <v>47</v>
      </c>
      <c r="H5" s="9" t="s">
        <v>48</v>
      </c>
      <c r="I5" s="9" t="s">
        <v>49</v>
      </c>
      <c r="J5" s="9" t="s">
        <v>50</v>
      </c>
      <c r="K5" s="9" t="s">
        <v>51</v>
      </c>
      <c r="L5" s="11" t="s">
        <v>52</v>
      </c>
      <c r="M5" s="11" t="s">
        <v>53</v>
      </c>
      <c r="N5" s="11"/>
    </row>
    <row r="6" customFormat="false" ht="27.75" hidden="false" customHeight="true" outlineLevel="0" collapsed="false">
      <c r="A6" s="12" t="s">
        <v>55</v>
      </c>
      <c r="B6" s="13" t="s">
        <v>56</v>
      </c>
      <c r="C6" s="14" t="n">
        <v>5.684</v>
      </c>
      <c r="D6" s="14" t="n">
        <v>3.173</v>
      </c>
      <c r="E6" s="14" t="n">
        <v>11.482</v>
      </c>
      <c r="F6" s="15" t="n">
        <v>0.182</v>
      </c>
      <c r="G6" s="13"/>
      <c r="H6" s="13"/>
      <c r="I6" s="13"/>
      <c r="J6" s="13"/>
      <c r="K6" s="13"/>
      <c r="L6" s="17" t="str">
        <f aca="false">IF(G6="","",G6-C6)</f>
        <v/>
      </c>
      <c r="M6" s="18" t="str">
        <f aca="false">IF(G6="","",(G6-C6)/C6)</f>
        <v/>
      </c>
      <c r="N6" s="19" t="s">
        <v>90</v>
      </c>
    </row>
    <row r="7" customFormat="false" ht="27.75" hidden="false" customHeight="true" outlineLevel="0" collapsed="false">
      <c r="A7" s="12"/>
      <c r="B7" s="13" t="s">
        <v>58</v>
      </c>
      <c r="C7" s="14" t="n">
        <v>6.715</v>
      </c>
      <c r="D7" s="14" t="n">
        <v>4.383</v>
      </c>
      <c r="E7" s="14" t="n">
        <v>12.913</v>
      </c>
      <c r="F7" s="15" t="n">
        <v>0.138</v>
      </c>
      <c r="G7" s="14" t="n">
        <v>3.16285627089531</v>
      </c>
      <c r="H7" s="14" t="n">
        <v>1.69606666666667</v>
      </c>
      <c r="I7" s="14" t="n">
        <v>9.98870598088386</v>
      </c>
      <c r="J7" s="15" t="n">
        <v>0.25440313111546</v>
      </c>
      <c r="K7" s="16" t="n">
        <v>1022</v>
      </c>
      <c r="L7" s="17" t="n">
        <f aca="false">IF(G7="","",G7-C7)</f>
        <v>-3.55214372910469</v>
      </c>
      <c r="M7" s="18" t="n">
        <f aca="false">IF(G7="","",(G7-C7)/C7)</f>
        <v>-0.528986407908368</v>
      </c>
      <c r="N7" s="19" t="s">
        <v>91</v>
      </c>
    </row>
    <row r="8" customFormat="false" ht="27.75" hidden="false" customHeight="true" outlineLevel="0" collapsed="false">
      <c r="A8" s="12"/>
      <c r="B8" s="13" t="s">
        <v>60</v>
      </c>
      <c r="C8" s="14" t="n">
        <v>6.032</v>
      </c>
      <c r="D8" s="14" t="n">
        <v>3.598</v>
      </c>
      <c r="E8" s="14" t="n">
        <v>11.937</v>
      </c>
      <c r="F8" s="15" t="n">
        <v>0.167</v>
      </c>
      <c r="G8" s="14" t="n">
        <v>2.9305325508001</v>
      </c>
      <c r="H8" s="14" t="n">
        <v>1.37313795089722</v>
      </c>
      <c r="I8" s="14" t="n">
        <v>9.3491751675125</v>
      </c>
      <c r="J8" s="15" t="n">
        <v>0.334637964774951</v>
      </c>
      <c r="K8" s="16" t="n">
        <v>1022</v>
      </c>
      <c r="L8" s="17" t="n">
        <f aca="false">IF(G8="","",G8-C8)</f>
        <v>-3.1014674491999</v>
      </c>
      <c r="M8" s="18" t="n">
        <f aca="false">IF(G8="","",(G8-C8)/C8)</f>
        <v>-0.514169006830222</v>
      </c>
      <c r="N8" s="19" t="s">
        <v>91</v>
      </c>
    </row>
    <row r="9" customFormat="false" ht="27.75" hidden="false" customHeight="true" outlineLevel="0" collapsed="false">
      <c r="A9" s="12"/>
      <c r="B9" s="13" t="s">
        <v>61</v>
      </c>
      <c r="C9" s="14" t="n">
        <v>6.387</v>
      </c>
      <c r="D9" s="14" t="n">
        <v>4.032</v>
      </c>
      <c r="E9" s="14" t="n">
        <v>12.347</v>
      </c>
      <c r="F9" s="15" t="n">
        <v>0.153</v>
      </c>
      <c r="G9" s="14" t="n">
        <v>6.82535291500003</v>
      </c>
      <c r="H9" s="14" t="n">
        <v>5.59159630286335</v>
      </c>
      <c r="I9" s="14" t="n">
        <v>15.6286222052831</v>
      </c>
      <c r="J9" s="15" t="n">
        <v>0.151663405088063</v>
      </c>
      <c r="K9" s="16" t="n">
        <v>1022</v>
      </c>
      <c r="L9" s="17" t="n">
        <f aca="false">IF(G9="","",G9-C9)</f>
        <v>0.438352915000034</v>
      </c>
      <c r="M9" s="18" t="n">
        <f aca="false">IF(G9="","",(G9-C9)/C9)</f>
        <v>0.0686320518240229</v>
      </c>
      <c r="N9" s="19" t="s">
        <v>91</v>
      </c>
    </row>
    <row r="10" customFormat="false" ht="27.75" hidden="false" customHeight="true" outlineLevel="0" collapsed="false">
      <c r="A10" s="12"/>
      <c r="B10" s="13" t="s">
        <v>62</v>
      </c>
      <c r="C10" s="14" t="n">
        <v>7.184</v>
      </c>
      <c r="D10" s="14" t="n">
        <v>4.714</v>
      </c>
      <c r="E10" s="14" t="n">
        <v>13.605</v>
      </c>
      <c r="F10" s="15" t="n">
        <v>0.119</v>
      </c>
      <c r="G10" s="14" t="n">
        <v>61.5114208737689</v>
      </c>
      <c r="H10" s="14" t="n">
        <v>48.5673693645158</v>
      </c>
      <c r="I10" s="14" t="n">
        <v>81.56890354061</v>
      </c>
      <c r="J10" s="15" t="n">
        <v>0.0391389432485322</v>
      </c>
      <c r="K10" s="16" t="n">
        <v>1022</v>
      </c>
      <c r="L10" s="17" t="n">
        <f aca="false">IF(G10="","",G10-C10)</f>
        <v>54.3274208737689</v>
      </c>
      <c r="M10" s="18" t="n">
        <f aca="false">IF(G10="","",(G10-C10)/C10)</f>
        <v>7.56228018844221</v>
      </c>
      <c r="N10" s="19" t="s">
        <v>63</v>
      </c>
    </row>
    <row r="11" customFormat="false" ht="27.75" hidden="false" customHeight="true" outlineLevel="0" collapsed="false">
      <c r="A11" s="12" t="s">
        <v>64</v>
      </c>
      <c r="B11" s="13" t="s">
        <v>65</v>
      </c>
      <c r="C11" s="20" t="n">
        <v>4.982</v>
      </c>
      <c r="D11" s="20" t="n">
        <v>2.817</v>
      </c>
      <c r="E11" s="20" t="n">
        <v>9.413</v>
      </c>
      <c r="F11" s="21" t="n">
        <v>0.152</v>
      </c>
      <c r="G11" s="22"/>
      <c r="H11" s="22"/>
      <c r="I11" s="22"/>
      <c r="J11" s="22"/>
      <c r="K11" s="22"/>
      <c r="L11" s="23" t="str">
        <f aca="false">IF(G11="","",G11-C11)</f>
        <v/>
      </c>
      <c r="M11" s="24" t="str">
        <f aca="false">IF(G11="","",(G11-C11)/C11)</f>
        <v/>
      </c>
      <c r="N11" s="19" t="s">
        <v>66</v>
      </c>
    </row>
    <row r="12" customFormat="false" ht="27.75" hidden="false" customHeight="true" outlineLevel="0" collapsed="false">
      <c r="A12" s="12"/>
      <c r="B12" s="13" t="s">
        <v>67</v>
      </c>
      <c r="C12" s="20" t="n">
        <v>4.637</v>
      </c>
      <c r="D12" s="20" t="n">
        <v>2.593</v>
      </c>
      <c r="E12" s="20" t="n">
        <v>8.973</v>
      </c>
      <c r="F12" s="21" t="n">
        <v>0.176</v>
      </c>
      <c r="G12" s="22"/>
      <c r="H12" s="22"/>
      <c r="I12" s="22"/>
      <c r="J12" s="22"/>
      <c r="K12" s="22"/>
      <c r="L12" s="23" t="str">
        <f aca="false">IF(G12="","",G12-C12)</f>
        <v/>
      </c>
      <c r="M12" s="24" t="str">
        <f aca="false">IF(G12="","",(G12-C12)/C12)</f>
        <v/>
      </c>
      <c r="N12" s="19" t="s">
        <v>66</v>
      </c>
    </row>
    <row r="13" customFormat="false" ht="27.75" hidden="false" customHeight="true" outlineLevel="0" collapsed="false">
      <c r="A13" s="12"/>
      <c r="B13" s="13" t="s">
        <v>68</v>
      </c>
      <c r="C13" s="20" t="n">
        <v>4.292</v>
      </c>
      <c r="D13" s="20" t="n">
        <v>2.342</v>
      </c>
      <c r="E13" s="20" t="n">
        <v>8.721</v>
      </c>
      <c r="F13" s="21" t="n">
        <v>0.202</v>
      </c>
      <c r="G13" s="22"/>
      <c r="H13" s="22"/>
      <c r="I13" s="22"/>
      <c r="J13" s="22"/>
      <c r="K13" s="22"/>
      <c r="L13" s="23" t="str">
        <f aca="false">IF(G13="","",G13-C13)</f>
        <v/>
      </c>
      <c r="M13" s="24" t="str">
        <f aca="false">IF(G13="","",(G13-C13)/C13)</f>
        <v/>
      </c>
      <c r="N13" s="19" t="s">
        <v>66</v>
      </c>
    </row>
    <row r="14" customFormat="false" ht="27.75" hidden="false" customHeight="true" outlineLevel="0" collapsed="false">
      <c r="A14" s="12"/>
      <c r="B14" s="13" t="s">
        <v>69</v>
      </c>
      <c r="C14" s="20" t="n">
        <v>3.705</v>
      </c>
      <c r="D14" s="20" t="n">
        <v>2.041</v>
      </c>
      <c r="E14" s="20" t="n">
        <v>7.986</v>
      </c>
      <c r="F14" s="21" t="n">
        <v>0.231</v>
      </c>
      <c r="G14" s="22"/>
      <c r="H14" s="22"/>
      <c r="I14" s="22"/>
      <c r="J14" s="22"/>
      <c r="K14" s="22"/>
      <c r="L14" s="23" t="str">
        <f aca="false">IF(G14="","",G14-C14)</f>
        <v/>
      </c>
      <c r="M14" s="24" t="str">
        <f aca="false">IF(G14="","",(G14-C14)/C14)</f>
        <v/>
      </c>
      <c r="N14" s="19" t="s">
        <v>70</v>
      </c>
    </row>
    <row r="15" customFormat="false" ht="27.75" hidden="false" customHeight="true" outlineLevel="0" collapsed="false">
      <c r="A15" s="12" t="s">
        <v>71</v>
      </c>
      <c r="B15" s="13" t="s">
        <v>72</v>
      </c>
      <c r="C15" s="20" t="n">
        <v>8.913</v>
      </c>
      <c r="D15" s="20" t="n">
        <v>5.732</v>
      </c>
      <c r="E15" s="20" t="n">
        <v>15.943</v>
      </c>
      <c r="F15" s="21" t="n">
        <v>0.072</v>
      </c>
      <c r="G15" s="22"/>
      <c r="H15" s="22"/>
      <c r="I15" s="22"/>
      <c r="J15" s="22"/>
      <c r="K15" s="22"/>
      <c r="L15" s="23" t="str">
        <f aca="false">IF(G15="","",G15-C15)</f>
        <v/>
      </c>
      <c r="M15" s="24" t="str">
        <f aca="false">IF(G15="","",(G15-C15)/C15)</f>
        <v/>
      </c>
      <c r="N15" s="19" t="s">
        <v>73</v>
      </c>
    </row>
    <row r="16" customFormat="false" ht="27.75" hidden="false" customHeight="true" outlineLevel="0" collapsed="false">
      <c r="A16" s="12"/>
      <c r="B16" s="13" t="s">
        <v>74</v>
      </c>
      <c r="C16" s="20" t="n">
        <v>11.917</v>
      </c>
      <c r="D16" s="20" t="n">
        <v>7.032</v>
      </c>
      <c r="E16" s="20" t="n">
        <v>18.946</v>
      </c>
      <c r="F16" s="21" t="n">
        <v>0.042</v>
      </c>
      <c r="G16" s="22"/>
      <c r="H16" s="22"/>
      <c r="I16" s="22"/>
      <c r="J16" s="22"/>
      <c r="K16" s="22"/>
      <c r="L16" s="23" t="str">
        <f aca="false">IF(G16="","",G16-C16)</f>
        <v/>
      </c>
      <c r="M16" s="24" t="str">
        <f aca="false">IF(G16="","",(G16-C16)/C16)</f>
        <v/>
      </c>
      <c r="N16" s="19" t="s">
        <v>73</v>
      </c>
    </row>
    <row r="17" customFormat="false" ht="27.75" hidden="false" customHeight="true" outlineLevel="0" collapsed="false">
      <c r="A17" s="12"/>
      <c r="B17" s="13" t="s">
        <v>75</v>
      </c>
      <c r="C17" s="20" t="n">
        <v>9.842</v>
      </c>
      <c r="D17" s="20" t="n">
        <v>6.383</v>
      </c>
      <c r="E17" s="20" t="n">
        <v>17.318</v>
      </c>
      <c r="F17" s="21" t="n">
        <v>0.056</v>
      </c>
      <c r="G17" s="22"/>
      <c r="H17" s="22"/>
      <c r="I17" s="22"/>
      <c r="J17" s="22"/>
      <c r="K17" s="22"/>
      <c r="L17" s="23" t="str">
        <f aca="false">IF(G17="","",G17-C17)</f>
        <v/>
      </c>
      <c r="M17" s="24" t="str">
        <f aca="false">IF(G17="","",(G17-C17)/C17)</f>
        <v/>
      </c>
      <c r="N17" s="19" t="s">
        <v>73</v>
      </c>
    </row>
    <row r="18" customFormat="false" ht="27.75" hidden="false" customHeight="true" outlineLevel="0" collapsed="false">
      <c r="A18" s="12"/>
      <c r="B18" s="13" t="s">
        <v>76</v>
      </c>
      <c r="C18" s="20" t="n">
        <v>12.184</v>
      </c>
      <c r="D18" s="20" t="n">
        <v>7.915</v>
      </c>
      <c r="E18" s="20" t="n">
        <v>21.387</v>
      </c>
      <c r="F18" s="21" t="n">
        <v>0.028</v>
      </c>
      <c r="G18" s="22"/>
      <c r="H18" s="22"/>
      <c r="I18" s="22"/>
      <c r="J18" s="22"/>
      <c r="K18" s="22"/>
      <c r="L18" s="23" t="str">
        <f aca="false">IF(G18="","",G18-C18)</f>
        <v/>
      </c>
      <c r="M18" s="24" t="str">
        <f aca="false">IF(G18="","",(G18-C18)/C18)</f>
        <v/>
      </c>
      <c r="N18" s="19" t="s">
        <v>73</v>
      </c>
    </row>
    <row r="20" customFormat="false" ht="15" hidden="false" customHeight="false" outlineLevel="0" collapsed="false">
      <c r="A20" s="2" t="s">
        <v>77</v>
      </c>
    </row>
    <row r="21" customFormat="false" ht="15" hidden="false" customHeight="false" outlineLevel="0" collapsed="false">
      <c r="A21" s="25" t="s">
        <v>78</v>
      </c>
      <c r="B21" s="26" t="s">
        <v>79</v>
      </c>
      <c r="C21" s="27" t="s">
        <v>21</v>
      </c>
      <c r="D21" s="27" t="s">
        <v>21</v>
      </c>
      <c r="E21" s="27" t="s">
        <v>21</v>
      </c>
      <c r="F21" s="27" t="s">
        <v>21</v>
      </c>
      <c r="G21" s="28" t="n">
        <v>2.63894324853229</v>
      </c>
      <c r="H21" s="28" t="n">
        <v>1</v>
      </c>
      <c r="I21" s="28" t="n">
        <v>10.8618346541823</v>
      </c>
      <c r="J21" s="29" t="n">
        <v>0.388454011741683</v>
      </c>
      <c r="K21" s="30" t="n">
        <v>1022</v>
      </c>
    </row>
    <row r="22" customFormat="false" ht="15" hidden="false" customHeight="false" outlineLevel="0" collapsed="false">
      <c r="A22" s="25"/>
      <c r="B22" s="26" t="s">
        <v>80</v>
      </c>
      <c r="C22" s="27" t="s">
        <v>21</v>
      </c>
      <c r="D22" s="27" t="s">
        <v>21</v>
      </c>
      <c r="E22" s="27" t="s">
        <v>21</v>
      </c>
      <c r="F22" s="27" t="s">
        <v>21</v>
      </c>
      <c r="G22" s="28" t="n">
        <v>3.21541934776719</v>
      </c>
      <c r="H22" s="28" t="n">
        <v>1.57666517657577</v>
      </c>
      <c r="I22" s="28" t="n">
        <v>9.53858352295689</v>
      </c>
      <c r="J22" s="29" t="n">
        <v>0.232876712328767</v>
      </c>
      <c r="K22" s="30" t="n">
        <v>1022</v>
      </c>
    </row>
    <row r="23" customFormat="false" ht="15" hidden="false" customHeight="false" outlineLevel="0" collapsed="false">
      <c r="A23" s="25"/>
      <c r="B23" s="26" t="s">
        <v>81</v>
      </c>
      <c r="C23" s="27" t="s">
        <v>21</v>
      </c>
      <c r="D23" s="27" t="s">
        <v>21</v>
      </c>
      <c r="E23" s="27" t="s">
        <v>21</v>
      </c>
      <c r="F23" s="27" t="s">
        <v>21</v>
      </c>
      <c r="G23" s="28" t="n">
        <v>4.52348336594912</v>
      </c>
      <c r="H23" s="28" t="n">
        <v>2</v>
      </c>
      <c r="I23" s="28" t="n">
        <v>18.1767523186412</v>
      </c>
      <c r="J23" s="29" t="n">
        <v>0.192759295499022</v>
      </c>
      <c r="K23" s="30" t="n">
        <v>1022</v>
      </c>
    </row>
    <row r="24" customFormat="false" ht="15" hidden="false" customHeight="false" outlineLevel="0" collapsed="false">
      <c r="A24" s="25"/>
      <c r="B24" s="26" t="s">
        <v>82</v>
      </c>
      <c r="C24" s="27" t="s">
        <v>21</v>
      </c>
      <c r="D24" s="27" t="s">
        <v>21</v>
      </c>
      <c r="E24" s="27" t="s">
        <v>21</v>
      </c>
      <c r="F24" s="27" t="s">
        <v>21</v>
      </c>
      <c r="G24" s="28" t="n">
        <v>5.61749351187928</v>
      </c>
      <c r="H24" s="28" t="n">
        <v>3.9879150390625</v>
      </c>
      <c r="I24" s="28" t="n">
        <v>17.9181801800196</v>
      </c>
      <c r="J24" s="29" t="n">
        <v>0.188845401174168</v>
      </c>
      <c r="K24" s="30" t="n">
        <v>1022</v>
      </c>
    </row>
    <row r="26" customFormat="false" ht="15" hidden="false" customHeight="false" outlineLevel="0" collapsed="false">
      <c r="A26" s="2" t="s">
        <v>83</v>
      </c>
    </row>
    <row r="27" customFormat="false" ht="15" hidden="false" customHeight="false" outlineLevel="0" collapsed="false">
      <c r="A27" s="6" t="s">
        <v>92</v>
      </c>
    </row>
    <row r="28" customFormat="false" ht="15" hidden="false" customHeight="false" outlineLevel="0" collapsed="false">
      <c r="A28" s="6" t="s">
        <v>85</v>
      </c>
    </row>
    <row r="29" customFormat="false" ht="15" hidden="false" customHeight="false" outlineLevel="0" collapsed="false">
      <c r="A29" s="6" t="s">
        <v>93</v>
      </c>
    </row>
    <row r="30" customFormat="false" ht="15" hidden="false" customHeight="false" outlineLevel="0" collapsed="false">
      <c r="A30" s="6"/>
    </row>
  </sheetData>
  <mergeCells count="5">
    <mergeCell ref="A4:A5"/>
    <mergeCell ref="B4:B5"/>
    <mergeCell ref="C4:F4"/>
    <mergeCell ref="G4:K4"/>
    <mergeCell ref="L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</cols>
  <sheetData>
    <row r="1" customFormat="false" ht="16.15" hidden="false" customHeight="false" outlineLevel="0" collapsed="false">
      <c r="A1" s="1" t="s">
        <v>94</v>
      </c>
    </row>
    <row r="2" customFormat="false" ht="15" hidden="false" customHeight="false" outlineLevel="0" collapsed="false">
      <c r="A2" s="6" t="s">
        <v>95</v>
      </c>
    </row>
    <row r="4" customFormat="false" ht="30" hidden="false" customHeight="true" outlineLevel="0" collapsed="false">
      <c r="A4" s="7" t="s">
        <v>96</v>
      </c>
      <c r="B4" s="7" t="s">
        <v>97</v>
      </c>
      <c r="C4" s="7" t="s">
        <v>40</v>
      </c>
      <c r="D4" s="7" t="s">
        <v>41</v>
      </c>
      <c r="E4" s="7" t="s">
        <v>98</v>
      </c>
      <c r="F4" s="7" t="s">
        <v>99</v>
      </c>
      <c r="G4" s="7" t="s">
        <v>100</v>
      </c>
      <c r="H4" s="7" t="s">
        <v>101</v>
      </c>
    </row>
    <row r="5" customFormat="false" ht="15" hidden="false" customHeight="false" outlineLevel="0" collapsed="false">
      <c r="A5" s="31" t="s">
        <v>8</v>
      </c>
      <c r="B5" s="31" t="s">
        <v>102</v>
      </c>
      <c r="C5" s="31" t="s">
        <v>55</v>
      </c>
      <c r="D5" s="31" t="s">
        <v>61</v>
      </c>
      <c r="E5" s="28" t="n">
        <v>6.82535291500003</v>
      </c>
      <c r="F5" s="28" t="n">
        <v>5.73229744416174</v>
      </c>
      <c r="G5" s="32" t="n">
        <f aca="false">(F5-E5)/E5</f>
        <v>-0.160146366708173</v>
      </c>
      <c r="H5" s="33" t="n">
        <v>0.135</v>
      </c>
    </row>
    <row r="6" customFormat="false" ht="15" hidden="false" customHeight="false" outlineLevel="0" collapsed="false">
      <c r="A6" s="31" t="s">
        <v>8</v>
      </c>
      <c r="B6" s="31" t="s">
        <v>102</v>
      </c>
      <c r="C6" s="31" t="s">
        <v>55</v>
      </c>
      <c r="D6" s="31" t="s">
        <v>103</v>
      </c>
      <c r="E6" s="28" t="n">
        <v>3.16285627089531</v>
      </c>
      <c r="F6" s="28" t="n">
        <v>2.0716864300143</v>
      </c>
      <c r="G6" s="32" t="n">
        <f aca="false">(F6-E6)/E6</f>
        <v>-0.34499507641937</v>
      </c>
      <c r="H6" s="33" t="n">
        <v>0.135</v>
      </c>
    </row>
    <row r="7" customFormat="false" ht="15" hidden="false" customHeight="false" outlineLevel="0" collapsed="false">
      <c r="A7" s="31" t="s">
        <v>8</v>
      </c>
      <c r="B7" s="31" t="s">
        <v>102</v>
      </c>
      <c r="C7" s="31" t="s">
        <v>55</v>
      </c>
      <c r="D7" s="31" t="s">
        <v>60</v>
      </c>
      <c r="E7" s="28" t="n">
        <v>2.9305325508001</v>
      </c>
      <c r="F7" s="28" t="n">
        <v>1.47287552384769</v>
      </c>
      <c r="G7" s="32" t="n">
        <f aca="false">(F7-E7)/E7</f>
        <v>-0.497403458819946</v>
      </c>
      <c r="H7" s="33" t="n">
        <v>0.135</v>
      </c>
    </row>
    <row r="8" customFormat="false" ht="15" hidden="false" customHeight="false" outlineLevel="0" collapsed="false">
      <c r="A8" s="34"/>
      <c r="B8" s="34"/>
      <c r="C8" s="34"/>
      <c r="D8" s="35" t="s">
        <v>104</v>
      </c>
      <c r="E8" s="34"/>
      <c r="F8" s="34"/>
      <c r="G8" s="36" t="n">
        <f aca="false">AVERAGE(G5:G7)</f>
        <v>-0.334181633982496</v>
      </c>
      <c r="H8" s="37" t="n">
        <v>0.135</v>
      </c>
    </row>
    <row r="10" customFormat="false" ht="15" hidden="false" customHeight="false" outlineLevel="0" collapsed="false">
      <c r="A10" s="2" t="s">
        <v>105</v>
      </c>
    </row>
    <row r="11" customFormat="false" ht="23.85" hidden="false" customHeight="false" outlineLevel="0" collapsed="false">
      <c r="A11" s="7" t="s">
        <v>40</v>
      </c>
      <c r="B11" s="7" t="s">
        <v>106</v>
      </c>
      <c r="C11" s="7" t="s">
        <v>107</v>
      </c>
      <c r="D11" s="7" t="s">
        <v>108</v>
      </c>
      <c r="E11" s="7" t="s">
        <v>109</v>
      </c>
      <c r="F11" s="7" t="s">
        <v>110</v>
      </c>
      <c r="G11" s="7" t="s">
        <v>111</v>
      </c>
      <c r="H11" s="7" t="s">
        <v>112</v>
      </c>
      <c r="I11" s="7" t="s">
        <v>113</v>
      </c>
    </row>
    <row r="12" customFormat="false" ht="15" hidden="false" customHeight="false" outlineLevel="0" collapsed="false">
      <c r="A12" s="25" t="s">
        <v>55</v>
      </c>
      <c r="B12" s="33" t="n">
        <v>0.081</v>
      </c>
      <c r="C12" s="33" t="n">
        <v>-0.112</v>
      </c>
      <c r="D12" s="33" t="n">
        <v>0.13</v>
      </c>
      <c r="E12" s="33" t="n">
        <v>-0.18</v>
      </c>
      <c r="F12" s="33" t="n">
        <v>0.135</v>
      </c>
      <c r="G12" s="33" t="n">
        <v>-0.168</v>
      </c>
      <c r="H12" s="33" t="n">
        <v>0.21</v>
      </c>
      <c r="I12" s="33" t="n">
        <v>-0.26</v>
      </c>
    </row>
    <row r="13" customFormat="false" ht="15" hidden="false" customHeight="false" outlineLevel="0" collapsed="false">
      <c r="A13" s="25" t="s">
        <v>64</v>
      </c>
      <c r="B13" s="33" t="n">
        <v>0.034</v>
      </c>
      <c r="C13" s="33" t="n">
        <v>-0.038</v>
      </c>
      <c r="D13" s="33" t="n">
        <v>0.045</v>
      </c>
      <c r="E13" s="33" t="n">
        <v>-0.05</v>
      </c>
      <c r="F13" s="33" t="n">
        <v>0.05</v>
      </c>
      <c r="G13" s="33" t="n">
        <v>-0.061</v>
      </c>
      <c r="H13" s="33" t="n">
        <v>0.062</v>
      </c>
      <c r="I13" s="33" t="n">
        <v>-0.069</v>
      </c>
    </row>
    <row r="14" customFormat="false" ht="15" hidden="false" customHeight="false" outlineLevel="0" collapsed="false">
      <c r="A14" s="25" t="s">
        <v>71</v>
      </c>
      <c r="B14" s="33" t="n">
        <v>0.009</v>
      </c>
      <c r="C14" s="33" t="n">
        <v>-0.01</v>
      </c>
      <c r="D14" s="33" t="n">
        <v>0.008</v>
      </c>
      <c r="E14" s="33" t="n">
        <v>-0.01</v>
      </c>
      <c r="F14" s="33" t="n">
        <v>0.01</v>
      </c>
      <c r="G14" s="33" t="n">
        <v>-0.009</v>
      </c>
      <c r="H14" s="33" t="n">
        <v>0.012</v>
      </c>
      <c r="I14" s="33" t="n">
        <v>-0.01</v>
      </c>
    </row>
    <row r="16" customFormat="false" ht="42" hidden="false" customHeight="true" outlineLevel="0" collapsed="false">
      <c r="A16" s="38" t="s">
        <v>114</v>
      </c>
      <c r="B16" s="38"/>
      <c r="C16" s="38"/>
      <c r="D16" s="38"/>
      <c r="E16" s="38"/>
      <c r="F16" s="38"/>
      <c r="G16" s="38"/>
      <c r="H16" s="38"/>
      <c r="I16" s="38"/>
    </row>
    <row r="17" customFormat="false" ht="42" hidden="false" customHeight="true" outlineLevel="0" collapsed="false">
      <c r="A17" s="38" t="s">
        <v>115</v>
      </c>
      <c r="B17" s="38"/>
      <c r="C17" s="38"/>
      <c r="D17" s="38"/>
      <c r="E17" s="38"/>
      <c r="F17" s="38"/>
      <c r="G17" s="38"/>
      <c r="H17" s="38"/>
      <c r="I17" s="38"/>
    </row>
    <row r="18" customFormat="false" ht="42" hidden="false" customHeight="true" outlineLevel="0" collapsed="false">
      <c r="A18" s="38" t="s">
        <v>116</v>
      </c>
      <c r="B18" s="38"/>
      <c r="C18" s="38"/>
      <c r="D18" s="38"/>
      <c r="E18" s="38"/>
      <c r="F18" s="38"/>
      <c r="G18" s="38"/>
      <c r="H18" s="38"/>
      <c r="I18" s="38"/>
    </row>
    <row r="19" customFormat="false" ht="42" hidden="false" customHeight="true" outlineLevel="0" collapsed="false">
      <c r="A19" s="38" t="s">
        <v>117</v>
      </c>
      <c r="B19" s="38"/>
      <c r="C19" s="38"/>
      <c r="D19" s="38"/>
      <c r="E19" s="38"/>
      <c r="F19" s="38"/>
      <c r="G19" s="38"/>
      <c r="H19" s="38"/>
      <c r="I19" s="38"/>
    </row>
  </sheetData>
  <mergeCells count="4"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6" t="s">
        <v>119</v>
      </c>
    </row>
    <row r="4" customFormat="false" ht="30" hidden="false" customHeight="true" outlineLevel="0" collapsed="false">
      <c r="A4" s="7" t="s">
        <v>41</v>
      </c>
      <c r="B4" s="7" t="s">
        <v>120</v>
      </c>
      <c r="C4" s="7" t="s">
        <v>121</v>
      </c>
      <c r="D4" s="7" t="s">
        <v>122</v>
      </c>
      <c r="E4" s="7" t="s">
        <v>123</v>
      </c>
      <c r="F4" s="7" t="s">
        <v>124</v>
      </c>
    </row>
    <row r="5" customFormat="false" ht="15" hidden="false" customHeight="false" outlineLevel="0" collapsed="false">
      <c r="A5" s="34" t="s">
        <v>79</v>
      </c>
      <c r="B5" s="34" t="s">
        <v>125</v>
      </c>
      <c r="C5" s="39" t="n">
        <v>2.63894324853229</v>
      </c>
      <c r="D5" s="40" t="n">
        <v>0.388454011741683</v>
      </c>
      <c r="E5" s="41" t="s">
        <v>21</v>
      </c>
      <c r="F5" s="42" t="s">
        <v>21</v>
      </c>
    </row>
    <row r="6" customFormat="false" ht="15" hidden="false" customHeight="false" outlineLevel="0" collapsed="false">
      <c r="A6" s="34" t="s">
        <v>81</v>
      </c>
      <c r="B6" s="34" t="s">
        <v>125</v>
      </c>
      <c r="C6" s="39" t="n">
        <v>4.52348336594912</v>
      </c>
      <c r="D6" s="40" t="n">
        <v>0.192759295499022</v>
      </c>
      <c r="E6" s="39" t="n">
        <v>1.58823529411765</v>
      </c>
      <c r="F6" s="40" t="n">
        <v>0.223529411764706</v>
      </c>
    </row>
    <row r="7" customFormat="false" ht="15" hidden="false" customHeight="false" outlineLevel="0" collapsed="false">
      <c r="A7" s="31" t="s">
        <v>56</v>
      </c>
      <c r="B7" s="31" t="s">
        <v>126</v>
      </c>
      <c r="C7" s="28" t="n">
        <v>2.61393299840025</v>
      </c>
      <c r="D7" s="29" t="n">
        <v>0.38160469667319</v>
      </c>
      <c r="E7" s="28" t="n">
        <v>1.71963572463283</v>
      </c>
      <c r="F7" s="29" t="n">
        <v>0.284705882352941</v>
      </c>
    </row>
    <row r="8" customFormat="false" ht="15" hidden="false" customHeight="false" outlineLevel="0" collapsed="false">
      <c r="A8" s="31" t="s">
        <v>60</v>
      </c>
      <c r="B8" s="31" t="s">
        <v>126</v>
      </c>
      <c r="C8" s="28" t="n">
        <v>2.68726786160422</v>
      </c>
      <c r="D8" s="29" t="n">
        <v>0.316046966731898</v>
      </c>
      <c r="E8" s="28" t="n">
        <v>16.8742104342405</v>
      </c>
      <c r="F8" s="29" t="n">
        <v>0.155294117647059</v>
      </c>
    </row>
    <row r="9" customFormat="false" ht="15" hidden="false" customHeight="false" outlineLevel="0" collapsed="false">
      <c r="A9" s="31" t="s">
        <v>58</v>
      </c>
      <c r="B9" s="31" t="s">
        <v>126</v>
      </c>
      <c r="C9" s="28" t="n">
        <v>2.87305074578559</v>
      </c>
      <c r="D9" s="29" t="n">
        <v>0.355185909980431</v>
      </c>
      <c r="E9" s="28" t="n">
        <v>18.8313655408476</v>
      </c>
      <c r="F9" s="29" t="n">
        <v>0.117647058823529</v>
      </c>
    </row>
    <row r="10" customFormat="false" ht="15" hidden="false" customHeight="false" outlineLevel="0" collapsed="false">
      <c r="A10" s="31" t="s">
        <v>61</v>
      </c>
      <c r="B10" s="31" t="s">
        <v>126</v>
      </c>
      <c r="C10" s="28" t="n">
        <v>2.85196310871035</v>
      </c>
      <c r="D10" s="29" t="n">
        <v>0.35812133072407</v>
      </c>
      <c r="E10" s="28" t="n">
        <v>1.96215008917291</v>
      </c>
      <c r="F10" s="29" t="n">
        <v>0.204705882352941</v>
      </c>
    </row>
    <row r="11" customFormat="false" ht="15" hidden="false" customHeight="false" outlineLevel="0" collapsed="false">
      <c r="A11" s="31" t="s">
        <v>62</v>
      </c>
      <c r="B11" s="31" t="s">
        <v>126</v>
      </c>
      <c r="C11" s="28" t="n">
        <v>3.36113462965044</v>
      </c>
      <c r="D11" s="29" t="n">
        <v>0.238747553816047</v>
      </c>
      <c r="E11" s="28" t="n">
        <v>1.53636231708483</v>
      </c>
      <c r="F11" s="29" t="n">
        <v>0.232941176470588</v>
      </c>
    </row>
    <row r="12" customFormat="false" ht="15" hidden="false" customHeight="false" outlineLevel="0" collapsed="false">
      <c r="A12" s="31" t="s">
        <v>60</v>
      </c>
      <c r="B12" s="31" t="s">
        <v>127</v>
      </c>
      <c r="C12" s="28" t="n">
        <v>2.9305325508001</v>
      </c>
      <c r="D12" s="29" t="n">
        <v>0.334637964774951</v>
      </c>
      <c r="E12" s="28" t="n">
        <v>1.47287552384769</v>
      </c>
      <c r="F12" s="29" t="n">
        <v>0.284705882352941</v>
      </c>
    </row>
    <row r="13" customFormat="false" ht="15" hidden="false" customHeight="false" outlineLevel="0" collapsed="false">
      <c r="A13" s="31" t="s">
        <v>60</v>
      </c>
      <c r="B13" s="31" t="s">
        <v>128</v>
      </c>
      <c r="C13" s="28" t="n">
        <v>2.78915286554049</v>
      </c>
      <c r="D13" s="29" t="n">
        <v>0.354207436399217</v>
      </c>
      <c r="E13" s="28" t="n">
        <v>1.4647082081963</v>
      </c>
      <c r="F13" s="29" t="n">
        <v>0.312941176470588</v>
      </c>
    </row>
    <row r="14" customFormat="false" ht="15" hidden="false" customHeight="false" outlineLevel="0" collapsed="false">
      <c r="A14" s="31" t="s">
        <v>58</v>
      </c>
      <c r="B14" s="31" t="s">
        <v>127</v>
      </c>
      <c r="C14" s="28" t="n">
        <v>3.16285627089531</v>
      </c>
      <c r="D14" s="29" t="n">
        <v>0.25440313111546</v>
      </c>
      <c r="E14" s="28" t="n">
        <v>2.0716864300143</v>
      </c>
      <c r="F14" s="29" t="n">
        <v>0.209411764705882</v>
      </c>
    </row>
    <row r="15" customFormat="false" ht="15" hidden="false" customHeight="false" outlineLevel="0" collapsed="false">
      <c r="A15" s="31" t="s">
        <v>58</v>
      </c>
      <c r="B15" s="31" t="s">
        <v>128</v>
      </c>
      <c r="C15" s="28" t="n">
        <v>3.06775521831241</v>
      </c>
      <c r="D15" s="29" t="n">
        <v>0.249510763209393</v>
      </c>
      <c r="E15" s="28" t="n">
        <v>2.2376595835844</v>
      </c>
      <c r="F15" s="29" t="n">
        <v>0.204705882352941</v>
      </c>
    </row>
    <row r="16" customFormat="false" ht="15" hidden="false" customHeight="false" outlineLevel="0" collapsed="false">
      <c r="A16" s="31" t="s">
        <v>61</v>
      </c>
      <c r="B16" s="31" t="s">
        <v>127</v>
      </c>
      <c r="C16" s="28" t="n">
        <v>6.82535291500003</v>
      </c>
      <c r="D16" s="29" t="n">
        <v>0.151663405088063</v>
      </c>
      <c r="E16" s="28" t="n">
        <v>5.73229744416174</v>
      </c>
      <c r="F16" s="29" t="n">
        <v>0.0847058823529411</v>
      </c>
    </row>
    <row r="17" customFormat="false" ht="15" hidden="false" customHeight="false" outlineLevel="0" collapsed="false">
      <c r="A17" s="31" t="s">
        <v>61</v>
      </c>
      <c r="B17" s="31" t="s">
        <v>128</v>
      </c>
      <c r="C17" s="28" t="n">
        <v>2.93631968749446</v>
      </c>
      <c r="D17" s="29" t="n">
        <v>0.316046966731898</v>
      </c>
      <c r="E17" s="28" t="n">
        <v>1.7395913017132</v>
      </c>
      <c r="F17" s="29" t="n">
        <v>0.256470588235294</v>
      </c>
    </row>
    <row r="19" customFormat="false" ht="31.5" hidden="false" customHeight="true" outlineLevel="0" collapsed="false">
      <c r="A19" s="38" t="s">
        <v>129</v>
      </c>
      <c r="B19" s="38"/>
      <c r="C19" s="38"/>
      <c r="D19" s="38"/>
      <c r="E19" s="38"/>
      <c r="F19" s="38"/>
    </row>
    <row r="20" customFormat="false" ht="31.5" hidden="false" customHeight="true" outlineLevel="0" collapsed="false">
      <c r="A20" s="38" t="s">
        <v>130</v>
      </c>
      <c r="B20" s="38"/>
      <c r="C20" s="38"/>
      <c r="D20" s="38"/>
      <c r="E20" s="38"/>
      <c r="F20" s="38"/>
    </row>
    <row r="21" customFormat="false" ht="31.5" hidden="false" customHeight="true" outlineLevel="0" collapsed="false">
      <c r="A21" s="38" t="s">
        <v>131</v>
      </c>
      <c r="B21" s="38"/>
      <c r="C21" s="38"/>
      <c r="D21" s="38"/>
      <c r="E21" s="38"/>
      <c r="F21" s="38"/>
    </row>
    <row r="22" customFormat="false" ht="31.5" hidden="false" customHeight="true" outlineLevel="0" collapsed="false">
      <c r="A22" s="38" t="s">
        <v>132</v>
      </c>
      <c r="B22" s="38"/>
      <c r="C22" s="38"/>
      <c r="D22" s="38"/>
      <c r="E22" s="38"/>
      <c r="F22" s="38"/>
    </row>
  </sheetData>
  <mergeCells count="4"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6" t="s">
        <v>134</v>
      </c>
    </row>
    <row r="4" customFormat="false" ht="42" hidden="false" customHeight="true" outlineLevel="0" collapsed="false">
      <c r="A4" s="7" t="s">
        <v>135</v>
      </c>
      <c r="B4" s="7" t="s">
        <v>1</v>
      </c>
      <c r="C4" s="7" t="s">
        <v>136</v>
      </c>
      <c r="D4" s="7" t="s">
        <v>137</v>
      </c>
      <c r="E4" s="7" t="s">
        <v>138</v>
      </c>
    </row>
    <row r="5" customFormat="false" ht="15" hidden="false" customHeight="false" outlineLevel="0" collapsed="false">
      <c r="A5" s="25" t="s">
        <v>139</v>
      </c>
      <c r="B5" s="28" t="n">
        <v>5.754</v>
      </c>
      <c r="C5" s="28" t="n">
        <v>5.754</v>
      </c>
      <c r="D5" s="43" t="n">
        <f aca="false">C5-B5</f>
        <v>0</v>
      </c>
      <c r="E5" s="31" t="s">
        <v>140</v>
      </c>
    </row>
    <row r="6" customFormat="false" ht="15" hidden="false" customHeight="false" outlineLevel="0" collapsed="false">
      <c r="A6" s="25" t="s">
        <v>141</v>
      </c>
      <c r="B6" s="28" t="n">
        <v>-1.774</v>
      </c>
      <c r="C6" s="28" t="n">
        <v>-1.774</v>
      </c>
      <c r="D6" s="43" t="n">
        <f aca="false">C6-B6</f>
        <v>0</v>
      </c>
      <c r="E6" s="31" t="s">
        <v>140</v>
      </c>
    </row>
    <row r="7" customFormat="false" ht="15" hidden="false" customHeight="false" outlineLevel="0" collapsed="false">
      <c r="A7" s="25" t="s">
        <v>142</v>
      </c>
      <c r="B7" s="28" t="n">
        <v>3.955</v>
      </c>
      <c r="C7" s="28" t="n">
        <v>3.955</v>
      </c>
      <c r="D7" s="43" t="n">
        <f aca="false">C7-B7</f>
        <v>0</v>
      </c>
      <c r="E7" s="31" t="s">
        <v>140</v>
      </c>
    </row>
    <row r="9" customFormat="false" ht="36" hidden="false" customHeight="true" outlineLevel="0" collapsed="false">
      <c r="A9" s="38" t="s">
        <v>143</v>
      </c>
      <c r="B9" s="38"/>
      <c r="C9" s="38"/>
      <c r="D9" s="38"/>
      <c r="E9" s="38"/>
    </row>
    <row r="10" customFormat="false" ht="36" hidden="false" customHeight="true" outlineLevel="0" collapsed="false">
      <c r="A10" s="38" t="s">
        <v>144</v>
      </c>
      <c r="B10" s="38"/>
      <c r="C10" s="38"/>
      <c r="D10" s="38"/>
      <c r="E10" s="38"/>
    </row>
    <row r="11" customFormat="false" ht="36" hidden="false" customHeight="true" outlineLevel="0" collapsed="false">
      <c r="A11" s="38" t="s">
        <v>145</v>
      </c>
      <c r="B11" s="38"/>
      <c r="C11" s="38"/>
      <c r="D11" s="38"/>
      <c r="E11" s="38"/>
    </row>
  </sheetData>
  <mergeCells count="3">
    <mergeCell ref="A9:E9"/>
    <mergeCell ref="A10:E10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2026-10-13T02:04:51Z</dcterms:created>
  <dc:creator>openpyxl</dc:creator>
  <dc:description/>
  <dc:language>en-US</dc:language>
  <cp:lastModifiedBy/>
  <dcterms:modified xsi:type="dcterms:W3CDTF">2026-10-13T02:04:51Z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